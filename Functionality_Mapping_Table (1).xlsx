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" yWindow="0" windowWidth="12480" windowHeight="12336" tabRatio="500" firstSheet="0" activeTab="0" autoFilterDateGrouping="1"/>
  </bookViews>
  <sheets>
    <sheet name="Mapping" sheetId="1" state="visible" r:id="rId1"/>
    <sheet name="Summary" sheetId="2" state="visible" r:id="rId2"/>
    <sheet name="Non-Functional Reqs" sheetId="3" state="visible" r:id="rId3"/>
    <sheet name="Legend &amp; Example" sheetId="4" state="visible" r:id="rId4"/>
  </sheets>
  <definedNames>
    <definedName name="_xlnm._FilterDatabase" localSheetId="0" hidden="1">'Mapping'!$A$4:$F$29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0" pivotButton="0" quotePrefix="0" xfId="0"/>
    <xf numFmtId="164" fontId="6" fillId="4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tabSelected="1" zoomScaleNormal="10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E1" sqref="E1"/>
      <selection pane="bottomLeft" activeCell="A5" sqref="A5"/>
      <selection pane="bottomRight" activeCell="F17" sqref="F17"/>
    </sheetView>
  </sheetViews>
  <sheetFormatPr baseColWidth="8" defaultColWidth="8.6640625" defaultRowHeight="14.4"/>
  <cols>
    <col width="6" customWidth="1" min="1" max="1"/>
    <col width="8" customWidth="1" min="2" max="2"/>
    <col width="27" customWidth="1" min="3" max="3"/>
    <col width="28" customWidth="1" min="4" max="4"/>
    <col width="46" customWidth="1" min="5" max="5"/>
    <col width="28" customWidth="1" min="6" max="6"/>
    <col width="12" customWidth="1" min="7" max="7"/>
    <col width="52" customWidth="1" min="8" max="8"/>
    <col width="30" customWidth="1" min="9" max="9"/>
    <col width="26" customWidth="1" min="10" max="10"/>
    <col width="14" customWidth="1" min="11" max="11"/>
    <col width="40" customWidth="1" min="12" max="12"/>
    <col width="46" customWidth="1" min="13" max="13"/>
  </cols>
  <sheetData>
    <row r="1" ht="17.4" customHeight="1">
      <c r="A1" s="1" t="inlineStr">
        <is>
          <t>Functionality Mapping Table: Privacy-Preserving Offline Language-to-Visualization Conversion</t>
        </is>
      </c>
    </row>
    <row r="2">
      <c r="A2" s="2" t="inlineStr">
        <is>
          <t>Status as of 2026-10-24. Yellow columns describe the LocalLens implementation. Source of truth: locallens/docs/PATENT_MAP.md and docs/ARCHITECTURE.md.</t>
        </is>
      </c>
    </row>
    <row r="4" ht="26.4" customHeight="1">
      <c r="A4" s="3" t="inlineStr">
        <is>
          <t>Sr. No.</t>
        </is>
      </c>
      <c r="B4" s="3" t="inlineStr">
        <is>
          <t>Func. ID</t>
        </is>
      </c>
      <c r="C4" s="3" t="inlineStr">
        <is>
          <t>Section</t>
        </is>
      </c>
      <c r="D4" s="3" t="inlineStr">
        <is>
          <t>Functionality</t>
        </is>
      </c>
      <c r="E4" s="3" t="inlineStr">
        <is>
          <t>Description (as per patent)</t>
        </is>
      </c>
      <c r="F4" s="3" t="inlineStr">
        <is>
          <t>Patent Reference</t>
        </is>
      </c>
      <c r="G4" s="3" t="inlineStr">
        <is>
          <t>Category</t>
        </is>
      </c>
      <c r="H4" s="3" t="inlineStr">
        <is>
          <t>Implementation in Project</t>
        </is>
      </c>
      <c r="I4" s="3" t="inlineStr">
        <is>
          <t>Module / File</t>
        </is>
      </c>
      <c r="J4" s="3" t="inlineStr">
        <is>
          <t>Technology Used</t>
        </is>
      </c>
      <c r="K4" s="3" t="inlineStr">
        <is>
          <t>Status</t>
        </is>
      </c>
      <c r="L4" s="3" t="inlineStr">
        <is>
          <t>Evidence / Test Case</t>
        </is>
      </c>
      <c r="M4" s="3" t="inlineStr">
        <is>
          <t>Remarks / Gap Plan</t>
        </is>
      </c>
    </row>
    <row r="5" ht="92" customHeight="1">
      <c r="A5" s="5" t="n">
        <v>1</v>
      </c>
      <c r="B5" s="5" t="inlineStr">
        <is>
          <t>F1</t>
        </is>
      </c>
      <c r="C5" s="5" t="inlineStr">
        <is>
          <t>1. Core Architecture &amp; Privacy</t>
        </is>
      </c>
      <c r="D5" s="5" t="inlineStr">
        <is>
          <t>Fully Offline Execution</t>
        </is>
      </c>
      <c r="E5" s="5" t="inlineStr">
        <is>
          <t>System operates entirely on the local device without invoking remote or cloud-based processing services.</t>
        </is>
      </c>
      <c r="F5" s="5" t="inlineStr">
        <is>
          <t>Claims 1, 14; Embodiments (offline mode)</t>
        </is>
      </c>
      <c r="G5" s="5" t="inlineStr">
        <is>
          <t>Core</t>
        </is>
      </c>
      <c r="H5" s="7" t="inlineStr">
        <is>
          <t>The whole flow (read question, extract, query, analyse, chart, display) runs on the machine hosting the app. Models are local files; no cloud calls.</t>
        </is>
      </c>
      <c r="I5" s="7" t="inlineStr">
        <is>
          <t>core/pipeline.py; server/</t>
        </is>
      </c>
      <c r="J5" s="7" t="inlineStr">
        <is>
          <t>FastAPI, llama-cpp-python, DuckDB, React</t>
        </is>
      </c>
      <c r="K5" s="7" t="inlineStr">
        <is>
          <t>Implemented</t>
        </is>
      </c>
      <c r="L5" s="7" t="inlineStr">
        <is>
          <t>scripts/check_offline.py (all network calls blocked, full flow still answers); tests/test_offline.py</t>
        </is>
      </c>
      <c r="M5" s="7" t="inlineStr">
        <is>
          <t>Downloading the two model files is a one-time online step before first use.</t>
        </is>
      </c>
    </row>
    <row r="6" ht="92" customHeight="1">
      <c r="A6" s="5" t="n">
        <v>2</v>
      </c>
      <c r="B6" s="5" t="inlineStr">
        <is>
          <t>F2</t>
        </is>
      </c>
      <c r="C6" s="5" t="inlineStr">
        <is>
          <t>1. Core Architecture &amp; Privacy</t>
        </is>
      </c>
      <c r="D6" s="5" t="inlineStr">
        <is>
          <t>Absolute Data Privacy</t>
        </is>
      </c>
      <c r="E6" s="5" t="inlineStr">
        <is>
          <t>Prevents transmission of NL queries, intermediate semantic representations, structured queries, or result sets outside the local device or trusted network boundary.</t>
        </is>
      </c>
      <c r="F6" s="5" t="inlineStr">
        <is>
          <t>Claims 1, 14; Embodiments (trusted local network boundary)</t>
        </is>
      </c>
      <c r="G6" s="5" t="inlineStr">
        <is>
          <t>Core</t>
        </is>
      </c>
      <c r="H6" s="7" t="inlineStr">
        <is>
          <t>Nothing is sent outside the server: no telemetry, no external fonts or scripts, strict content-security policy. Chats are private per user.</t>
        </is>
      </c>
      <c r="I6" s="7" t="inlineStr">
        <is>
          <t>server/app.py (security headers); server/security.py</t>
        </is>
      </c>
      <c r="J6" s="7" t="inlineStr">
        <is>
          <t>FastAPI, CSP headers</t>
        </is>
      </c>
      <c r="K6" s="7" t="inlineStr">
        <is>
          <t>Implemented</t>
        </is>
      </c>
      <c r="L6" s="7" t="inlineStr">
        <is>
          <t>check_offline.py; tests/test_server.py (headers, access tests)</t>
        </is>
      </c>
      <c r="M6" s="7" t="inlineStr">
        <is>
          <t>Runs on a trusted company network. HTTPS is not built in: put it behind a reverse proxy and set LOCALLENS_SECURE_COOKIES=1.</t>
        </is>
      </c>
    </row>
    <row r="7" ht="92" customHeight="1">
      <c r="A7" s="5" t="n">
        <v>3</v>
      </c>
      <c r="B7" s="5" t="inlineStr">
        <is>
          <t>F3</t>
        </is>
      </c>
      <c r="C7" s="5" t="inlineStr">
        <is>
          <t>1. Core Architecture &amp; Privacy</t>
        </is>
      </c>
      <c r="D7" s="5" t="inlineStr">
        <is>
          <t>Commodity Hardware Compatibility</t>
        </is>
      </c>
      <c r="E7" s="5" t="inlineStr">
        <is>
          <t>Pipeline runs on standard CPUs or edge processors within a constrained memory footprint, with no GPU required.</t>
        </is>
      </c>
      <c r="F7" s="5" t="inlineStr">
        <is>
          <t>Claim 12; Embodiments (CPU-only, quantized SLM)</t>
        </is>
      </c>
      <c r="G7" s="5" t="inlineStr">
        <is>
          <t>Dependent</t>
        </is>
      </c>
      <c r="H7" s="7" t="inlineStr">
        <is>
          <t>Qwen2.5-0.5B (4-bit) and a 35 MB embedding model run on CPU only (n_gpu_layers=0). Peak memory 1.0 GB with both models loaded.</t>
        </is>
      </c>
      <c r="I7" s="7" t="inlineStr">
        <is>
          <t>nlu/slm.py; nlu/embeddings.py</t>
        </is>
      </c>
      <c r="J7" s="7" t="inlineStr">
        <is>
          <t>llama-cpp-python, GGUF Q4_K_M</t>
        </is>
      </c>
      <c r="K7" s="7" t="inlineStr">
        <is>
          <t>Implemented</t>
        </is>
      </c>
      <c r="L7" s="7" t="inlineStr">
        <is>
          <t>Measured on Apple M5 (CPU): 1,017 MB peak after 96 questions. See Non-Functional sheet</t>
        </is>
      </c>
      <c r="M7" s="7" t="inlineStr">
        <is>
          <t>Not yet measured on a Windows 8 GB laptop.</t>
        </is>
      </c>
    </row>
    <row r="8" ht="92" customHeight="1">
      <c r="A8" s="5" t="n">
        <v>4</v>
      </c>
      <c r="B8" s="5" t="inlineStr">
        <is>
          <t>F4</t>
        </is>
      </c>
      <c r="C8" s="5" t="inlineStr">
        <is>
          <t>1. Core Architecture &amp; Privacy</t>
        </is>
      </c>
      <c r="D8" s="5" t="inlineStr">
        <is>
          <t>Low-Latency Operation</t>
        </is>
      </c>
      <c r="E8" s="5" t="inlineStr">
        <is>
          <t>SLM engine is optimised to generate the analytical visualization within a predefined latency threshold of less than two seconds from receipt of the query.</t>
        </is>
      </c>
      <c r="F8" s="5" t="inlineStr">
        <is>
          <t>Embodiments (latency threshold); Method (response time)</t>
        </is>
      </c>
      <c r="G8" s="5" t="inlineStr">
        <is>
          <t>Embodiment</t>
        </is>
      </c>
      <c r="H8" s="7" t="inlineStr">
        <is>
          <t>Median answer time about 0.75 s on the test machine; 95th percentile 1.5-1.9 s on the four question sets. A 30 s time limit stops a stalled model from hanging the server.</t>
        </is>
      </c>
      <c r="I8" s="7" t="inlineStr">
        <is>
          <t>nlu/slm.py (time budget); eval/run_eval.py</t>
        </is>
      </c>
      <c r="J8" s="7" t="inlineStr">
        <is>
          <t>Prompt trimmed to 2048 tokens, JSON-schema constrained decoding</t>
        </is>
      </c>
      <c r="K8" s="7" t="inlineStr">
        <is>
          <t>Partial</t>
        </is>
      </c>
      <c r="L8" s="7" t="inlineStr">
        <is>
          <t>python eval/run_eval.py --set gold|heldout|heldout2|heldout3 (latency line)</t>
        </is>
      </c>
      <c r="M8" s="7" t="inlineStr">
        <is>
          <t>Median is under 2 s, the slowest answers are not always. One machine only; under heavy load one question once took 376 s before the time limit was added.</t>
        </is>
      </c>
    </row>
    <row r="9" ht="92" customHeight="1">
      <c r="A9" s="5" t="n">
        <v>5</v>
      </c>
      <c r="B9" s="5" t="inlineStr">
        <is>
          <t>F5</t>
        </is>
      </c>
      <c r="C9" s="5" t="inlineStr">
        <is>
          <t>2. User Interface &amp; Interaction</t>
        </is>
      </c>
      <c r="D9" s="5" t="inlineStr">
        <is>
          <t>Natural Language Input</t>
        </is>
      </c>
      <c r="E9" s="5" t="inlineStr">
        <is>
          <t>UI (graphical, localhost web, or CLI) accepts free-form NL queries from non-technical users.</t>
        </is>
      </c>
      <c r="F9" s="5" t="inlineStr">
        <is>
          <t>Claims 1, 14; Step 202; UI (102)</t>
        </is>
      </c>
      <c r="G9" s="5" t="inlineStr">
        <is>
          <t>Core</t>
        </is>
      </c>
      <c r="H9" s="7" t="inlineStr">
        <is>
          <t>Local web interface (React). Free-form questions typed in a chat box; suggestion chips; works for non-technical users.</t>
        </is>
      </c>
      <c r="I9" s="7" t="inlineStr">
        <is>
          <t>web/src/pages/AskPage.tsx; server/routes_chat.py</t>
        </is>
      </c>
      <c r="J9" s="7" t="inlineStr">
        <is>
          <t>React 19, TypeScript, Vite, FastAPI</t>
        </is>
      </c>
      <c r="K9" s="7" t="inlineStr">
        <is>
          <t>Implemented</t>
        </is>
      </c>
      <c r="L9" s="7" t="inlineStr">
        <is>
          <t>Browser walkthrough with the real model; web tests (27)</t>
        </is>
      </c>
      <c r="M9" s="7" t="inlineStr">
        <is>
          <t>Browser only: no command-line or voice interface (the patent lists them as options).</t>
        </is>
      </c>
    </row>
    <row r="10" ht="92" customHeight="1">
      <c r="A10" s="5" t="n">
        <v>6</v>
      </c>
      <c r="B10" s="5" t="inlineStr">
        <is>
          <t>F6</t>
        </is>
      </c>
      <c r="C10" s="5" t="inlineStr">
        <is>
          <t>2. User Interface &amp; Interaction</t>
        </is>
      </c>
      <c r="D10" s="5" t="inlineStr">
        <is>
          <t>Query Pre-processing</t>
        </is>
      </c>
      <c r="E10" s="5" t="inlineStr">
        <is>
          <t>Syntactic validation, spelling normalization and semantic disambiguation before NLP; optional query suggestions and auto-completion.</t>
        </is>
      </c>
      <c r="F10" s="5" t="inlineStr">
        <is>
          <t>Embodiments; Method (pre-processing)</t>
        </is>
      </c>
      <c r="G10" s="5" t="inlineStr">
        <is>
          <t>Embodiment</t>
        </is>
      </c>
      <c r="H10" s="7" t="inlineStr">
        <is>
          <t>Spelling fixes against column names and synonyms; non-data messages are refused; ambiguous words trigger a clarifying question; starter suggestions; typeahead that finishes column names, synonyms and category values as you type.</t>
        </is>
      </c>
      <c r="I10" s="7" t="inlineStr">
        <is>
          <t>nlu/preprocess.py; nlu/typeahead.py; core/pipeline.py</t>
        </is>
      </c>
      <c r="J10" s="7" t="inlineStr">
        <is>
          <t>rapidfuzz, bge-small embeddings</t>
        </is>
      </c>
      <c r="K10" s="7" t="inlineStr">
        <is>
          <t>Implemented</t>
        </is>
      </c>
      <c r="L10" s="7" t="inlineStr">
        <is>
          <t>tests/test_heldout_fixes.py; tests/test_typeahead.py; tests/test_server.py (typeahead endpoint)</t>
        </is>
      </c>
      <c r="M10" s="7" t="inlineStr">
        <is>
          <t>Typeahead completes words from the dataset's vocabulary, not whole sentences.</t>
        </is>
      </c>
    </row>
    <row r="11" ht="92" customHeight="1">
      <c r="A11" s="5" t="n">
        <v>7</v>
      </c>
      <c r="B11" s="5" t="inlineStr">
        <is>
          <t>F7</t>
        </is>
      </c>
      <c r="C11" s="5" t="inlineStr">
        <is>
          <t>2. User Interface &amp; Interaction</t>
        </is>
      </c>
      <c r="D11" s="5" t="inlineStr">
        <is>
          <t>Iterative Refinement</t>
        </is>
      </c>
      <c r="E11" s="5" t="inlineStr">
        <is>
          <t>User feedback module takes refinement input and regenerates query and visualization based on detected ambiguities.</t>
        </is>
      </c>
      <c r="F11" s="5" t="inlineStr">
        <is>
          <t>Embodiments (user feedback / query refinement module)</t>
        </is>
      </c>
      <c r="G11" s="5" t="inlineStr">
        <is>
          <t>Embodiment</t>
        </is>
      </c>
      <c r="H11" s="7" t="inlineStr">
        <is>
          <t>Follow-ups ('now only for Technology', 'and for 2025') change only what they name and keep the rest of the previous question. Clarifying-question buttons when a term is ambiguous. Chart requests ('make it a pie chart') redraw the last answer without the model.</t>
        </is>
      </c>
      <c r="I11" s="7" t="inlineStr">
        <is>
          <t>core/pipeline.py (_carry_over, _chart_only); nlu/chart_request.py</t>
        </is>
      </c>
      <c r="J11" s="7" t="inlineStr">
        <is>
          <t>Rule-based merge on top of the model's frame</t>
        </is>
      </c>
      <c r="K11" s="7" t="inlineStr">
        <is>
          <t>Implemented</t>
        </is>
      </c>
      <c r="L11" s="7" t="inlineStr">
        <is>
          <t>tests/test_pipeline.py; tests/test_chart_request.py (28 tests)</t>
        </is>
      </c>
      <c r="M11" s="7" t="inlineStr">
        <is>
          <t>A context-loss bug in follow-ups was found and fixed on 2026-10-22.</t>
        </is>
      </c>
    </row>
    <row r="12" ht="92" customHeight="1">
      <c r="A12" s="5" t="n">
        <v>8</v>
      </c>
      <c r="B12" s="5" t="inlineStr">
        <is>
          <t>F8</t>
        </is>
      </c>
      <c r="C12" s="5" t="inlineStr">
        <is>
          <t>2. User Interface &amp; Interaction</t>
        </is>
      </c>
      <c r="D12" s="5" t="inlineStr">
        <is>
          <t>Preference Persistence</t>
        </is>
      </c>
      <c r="E12" s="5" t="inlineStr">
        <is>
          <t>Locally stores user preferences (chart style, aggregation defaults, sorting) and applies them to later visualizations.</t>
        </is>
      </c>
      <c r="F12" s="5" t="inlineStr">
        <is>
          <t>Embodiments (persisted preferences)</t>
        </is>
      </c>
      <c r="G12" s="5" t="inlineStr">
        <is>
          <t>Embodiment</t>
        </is>
      </c>
      <c r="H12" s="7" t="inlineStr">
        <is>
          <t>Per-user saved preferences: sort order, chart type per question type, and default aggregation (used when a question does not say total, average, etc.). Applied to every later answer.</t>
        </is>
      </c>
      <c r="I12" s="7" t="inlineStr">
        <is>
          <t>server/routes_chat.py (prefs); core/prefs.py; web SettingsPage</t>
        </is>
      </c>
      <c r="J12" s="7" t="inlineStr">
        <is>
          <t>SQLite per-user JSON</t>
        </is>
      </c>
      <c r="K12" s="7" t="inlineStr">
        <is>
          <t>Implemented</t>
        </is>
      </c>
      <c r="L12" s="7" t="inlineStr">
        <is>
          <t>tests/test_server.py::test_preferences, test_default_aggregation_preference; tests/test_default_agg.py</t>
        </is>
      </c>
      <c r="M12" s="7" t="inlineStr">
        <is>
          <t>Chart-type choices exist only for question types with a real alternative (trend, comparison, ranking, proportion). Distribution and summary have one chart that fits, so no choice is offered.</t>
        </is>
      </c>
    </row>
    <row r="13" ht="92" customHeight="1">
      <c r="A13" s="5" t="n">
        <v>9</v>
      </c>
      <c r="B13" s="5" t="inlineStr">
        <is>
          <t>F9</t>
        </is>
      </c>
      <c r="C13" s="5" t="inlineStr">
        <is>
          <t>3. On-Device SLM Engine</t>
        </is>
      </c>
      <c r="D13" s="5" t="inlineStr">
        <is>
          <t>Entity Extraction</t>
        </is>
      </c>
      <c r="E13" s="5" t="inlineStr">
        <is>
          <t>Token analysis extracts metrics (revenue, sales), dimensions (region, department) and temporal parameters (year, month).</t>
        </is>
      </c>
      <c r="F13" s="5" t="inlineStr">
        <is>
          <t>Claims 1, 2, 3; Step 204</t>
        </is>
      </c>
      <c r="G13" s="5" t="inlineStr">
        <is>
          <t>Dependent</t>
        </is>
      </c>
      <c r="H13" s="7" t="inlineStr">
        <is>
          <t>The model fills a typed frame (metric, dimension, time range, filters); rules ground each field in words actually in the question.</t>
        </is>
      </c>
      <c r="I13" s="7" t="inlineStr">
        <is>
          <t>nlu/slm.py; query/frame.py; core/pipeline.py</t>
        </is>
      </c>
      <c r="J13" s="7" t="inlineStr">
        <is>
          <t>Qwen2.5-0.5B, JSON-schema grammar</t>
        </is>
      </c>
      <c r="K13" s="7" t="inlineStr">
        <is>
          <t>Implemented</t>
        </is>
      </c>
      <c r="L13" s="7" t="inlineStr">
        <is>
          <t>eval/ gold set 100% (tuned); held-out sets 78%/85%/83% first run</t>
        </is>
      </c>
      <c r="M13" s="7" t="inlineStr">
        <is>
          <t>On new questions expect about 80-85% correct (see docs/EVAL.md).</t>
        </is>
      </c>
    </row>
    <row r="14" ht="92" customHeight="1">
      <c r="A14" s="5" t="n">
        <v>10</v>
      </c>
      <c r="B14" s="5" t="inlineStr">
        <is>
          <t>F10</t>
        </is>
      </c>
      <c r="C14" s="5" t="inlineStr">
        <is>
          <t>3. On-Device SLM Engine</t>
        </is>
      </c>
      <c r="D14" s="5" t="inlineStr">
        <is>
          <t>Schema-Aware Mapping</t>
        </is>
      </c>
      <c r="E14" s="5" t="inlineStr">
        <is>
          <t>Extracted tokens are normalized and mapped to schema metadata (tables, columns, relationships) of the local repository; stored in a structured intermediate representation.</t>
        </is>
      </c>
      <c r="F14" s="5" t="inlineStr">
        <is>
          <t>Claim 3; Embodiments (schema registry)</t>
        </is>
      </c>
      <c r="G14" s="5" t="inlineStr">
        <is>
          <t>Dependent</t>
        </is>
      </c>
      <c r="H14" s="7" t="inlineStr">
        <is>
          <t>A schema registry maps words to columns, tables and joins (tags, synonyms, descriptions). The extracted fields are stored in a fixed-field frame before any SQL exists.</t>
        </is>
      </c>
      <c r="I14" s="7" t="inlineStr">
        <is>
          <t>data/registry.py; query/frame.py</t>
        </is>
      </c>
      <c r="J14" s="7" t="inlineStr">
        <is>
          <t>Pydantic, JSON registry</t>
        </is>
      </c>
      <c r="K14" s="7" t="inlineStr">
        <is>
          <t>Implemented</t>
        </is>
      </c>
      <c r="L14" s="7" t="inlineStr">
        <is>
          <t>tests/test_core.py; tests/test_autoprep.py</t>
        </is>
      </c>
      <c r="M14" s="7" t="inlineStr">
        <is>
          <t>Editable on the Columns page. Replaces the earlier 'unsure' note: this is built.</t>
        </is>
      </c>
    </row>
    <row r="15" ht="92" customHeight="1">
      <c r="A15" s="5" t="n">
        <v>11</v>
      </c>
      <c r="B15" s="5" t="inlineStr">
        <is>
          <t>F11</t>
        </is>
      </c>
      <c r="C15" s="5" t="inlineStr">
        <is>
          <t>3. On-Device SLM Engine</t>
        </is>
      </c>
      <c r="D15" s="5" t="inlineStr">
        <is>
          <t>Intent Classification</t>
        </is>
      </c>
      <c r="E15" s="5" t="inlineStr">
        <is>
          <t>Classifies objective into one of six intents: trend, comparison, distribution, proportion, ranking, aggregation summary; assigns a predefined intent ID.</t>
        </is>
      </c>
      <c r="F15" s="5" t="inlineStr">
        <is>
          <t>Claims 1, 4; Step 206</t>
        </is>
      </c>
      <c r="G15" s="5" t="inlineStr">
        <is>
          <t>Dependent</t>
        </is>
      </c>
      <c r="H15" s="7" t="inlineStr">
        <is>
          <t>Six intents (trend, comparison, distribution, proportion, ranking, summary), chosen by keyword rules plus the model, stored as a fixed intent ID in the frame.</t>
        </is>
      </c>
      <c r="I15" s="7" t="inlineStr">
        <is>
          <t>nlu/rules.py; nlu/slm.py</t>
        </is>
      </c>
      <c r="J15" s="7" t="inlineStr">
        <is>
          <t>Rules + Qwen2.5-0.5B</t>
        </is>
      </c>
      <c r="K15" s="7" t="inlineStr">
        <is>
          <t>Implemented</t>
        </is>
      </c>
      <c r="L15" s="7" t="inlineStr">
        <is>
          <t>tests/test_core.py; eval chart/intent accuracy</t>
        </is>
      </c>
      <c r="M15" s="7" t="inlineStr">
        <is>
          <t>No separate trained classifier head (the description mentions one as an option).</t>
        </is>
      </c>
    </row>
    <row r="16" ht="92" customHeight="1">
      <c r="A16" s="5" t="n">
        <v>12</v>
      </c>
      <c r="B16" s="5" t="inlineStr">
        <is>
          <t>F12</t>
        </is>
      </c>
      <c r="C16" s="5" t="inlineStr">
        <is>
          <t>3. On-Device SLM Engine</t>
        </is>
      </c>
      <c r="D16" s="5" t="inlineStr">
        <is>
          <t>Domain Adaptation</t>
        </is>
      </c>
      <c r="E16" s="5" t="inlineStr">
        <is>
          <t>SLM fine-tuned and adapted using locally stored embeddings for industry terminology (finance, healthcare, logistics, etc.).</t>
        </is>
      </c>
      <c r="F16" s="5" t="inlineStr">
        <is>
          <t>Claim 7; Embodiments (domain fine-tuning)</t>
        </is>
      </c>
      <c r="G16" s="5" t="inlineStr">
        <is>
          <t>Dependent</t>
        </is>
      </c>
      <c r="H16" s="7" t="inlineStr">
        <is>
          <t>Domain-adapted via locally stored embeddings and a semantic layer: custom metrics, calculated columns, business rules, descriptions, and verified examples shown to the model. Embeddings match unfamiliar words by meaning.</t>
        </is>
      </c>
      <c r="I16" s="7" t="inlineStr">
        <is>
          <t>nlu/embeddings.py; data/semantic.py; data/registry.py</t>
        </is>
      </c>
      <c r="J16" s="7" t="inlineStr">
        <is>
          <t>bge-small-en-v1.5 (Q8 GGUF), sqlglot-checked formulas</t>
        </is>
      </c>
      <c r="K16" s="7" t="inlineStr">
        <is>
          <t>Implemented</t>
        </is>
      </c>
      <c r="L16" s="7" t="inlineStr">
        <is>
          <t>tests/test_embeddings.py; tests/test_semantic.py; docs/EVAL.md (73% to 83% on held-out set 3)</t>
        </is>
      </c>
      <c r="M16" s="7" t="inlineStr">
        <is>
          <t>Fine-tuning the model itself (described embodiment, not in claim 7) is deliberately not done.</t>
        </is>
      </c>
    </row>
    <row r="17" ht="92" customHeight="1">
      <c r="A17" s="5" t="n">
        <v>13</v>
      </c>
      <c r="B17" s="5" t="inlineStr">
        <is>
          <t>F13</t>
        </is>
      </c>
      <c r="C17" s="5" t="inlineStr">
        <is>
          <t>4. Query Generation &amp; Execution</t>
        </is>
      </c>
      <c r="D17" s="5" t="inlineStr">
        <is>
          <t>Template-Based Query Formation</t>
        </is>
      </c>
      <c r="E17" s="5" t="inlineStr">
        <is>
          <t>Deterministically converts entities and intent into SQL by populating predefined query templates.</t>
        </is>
      </c>
      <c r="F17" s="5" t="inlineStr">
        <is>
          <t>Claim 5; Step 208</t>
        </is>
      </c>
      <c r="G17" s="5" t="inlineStr">
        <is>
          <t>Dependent</t>
        </is>
      </c>
      <c r="H17" s="7" t="inlineStr">
        <is>
          <t>SQL comes only from predefined templates filled with the frame. The model never writes SQL.</t>
        </is>
      </c>
      <c r="I17" s="7" t="inlineStr">
        <is>
          <t>query/sqlgen.py</t>
        </is>
      </c>
      <c r="J17" s="7" t="inlineStr">
        <is>
          <t>Python templates, DuckDB dialect</t>
        </is>
      </c>
      <c r="K17" s="7" t="inlineStr">
        <is>
          <t>Implemented</t>
        </is>
      </c>
      <c r="L17" s="7" t="inlineStr">
        <is>
          <t>tests/test_core.py; tests/test_semantic.py (fiscal grouping)</t>
        </is>
      </c>
      <c r="M17" s="7" t="inlineStr">
        <is>
          <t>Years and quarters group by financial year (April start by default, set per dataset).</t>
        </is>
      </c>
    </row>
    <row r="18" ht="92" customHeight="1">
      <c r="A18" s="5" t="n">
        <v>14</v>
      </c>
      <c r="B18" s="5" t="inlineStr">
        <is>
          <t>F14</t>
        </is>
      </c>
      <c r="C18" s="5" t="inlineStr">
        <is>
          <t>4. Query Generation &amp; Execution</t>
        </is>
      </c>
      <c r="D18" s="5" t="inlineStr">
        <is>
          <t>Schema Validation</t>
        </is>
      </c>
      <c r="E18" s="5" t="inlineStr">
        <is>
          <t>Query validation submodule checks schema compatibility, column existence and data-type alignment before execution to block hallucinated or inconsistent queries.</t>
        </is>
      </c>
      <c r="F18" s="5" t="inlineStr">
        <is>
          <t>Claims 5, 8; Embodiments</t>
        </is>
      </c>
      <c r="G18" s="5" t="inlineStr">
        <is>
          <t>Dependent</t>
        </is>
      </c>
      <c r="H18" s="7" t="inlineStr">
        <is>
          <t>Every frame and every SQL statement is checked before running: columns exist, types fit the aggregation, only SELECT, only allowed tables.</t>
        </is>
      </c>
      <c r="I18" s="7" t="inlineStr">
        <is>
          <t>query/validator.py</t>
        </is>
      </c>
      <c r="J18" s="7" t="inlineStr">
        <is>
          <t>sqlglot</t>
        </is>
      </c>
      <c r="K18" s="7" t="inlineStr">
        <is>
          <t>Implemented</t>
        </is>
      </c>
      <c r="L18" s="7" t="inlineStr">
        <is>
          <t>tests/test_core.py; tests/test_semantic.py (unsafe expressions rejected)</t>
        </is>
      </c>
      <c r="M18" s="7" t="inlineStr">
        <is>
          <t>Earlier sheet said Missing; it is built.</t>
        </is>
      </c>
    </row>
    <row r="19" ht="92" customHeight="1">
      <c r="A19" s="5" t="n">
        <v>15</v>
      </c>
      <c r="B19" s="5" t="inlineStr">
        <is>
          <t>F15</t>
        </is>
      </c>
      <c r="C19" s="5" t="inlineStr">
        <is>
          <t>4. Query Generation &amp; Execution</t>
        </is>
      </c>
      <c r="D19" s="5" t="inlineStr">
        <is>
          <t>Local Repository Execution</t>
        </is>
      </c>
      <c r="E19" s="5" t="inlineStr">
        <is>
          <t>Runs the query on local repositories: SQLite, DuckDB, local warehouse, CSV/Parquet files.</t>
        </is>
      </c>
      <c r="F19" s="5" t="inlineStr">
        <is>
          <t>Claims 1, 14; Step 210</t>
        </is>
      </c>
      <c r="G19" s="5" t="inlineStr">
        <is>
          <t>Dependent</t>
        </is>
      </c>
      <c r="H19" s="7" t="inlineStr">
        <is>
          <t>Runs on DuckDB over local files: CSV, Excel, Parquet and SQLite uploads, with multi-table joins.</t>
        </is>
      </c>
      <c r="I19" s="7" t="inlineStr">
        <is>
          <t>data/engine.py; data/ingest.py</t>
        </is>
      </c>
      <c r="J19" s="7" t="inlineStr">
        <is>
          <t>DuckDB, pandas</t>
        </is>
      </c>
      <c r="K19" s="7" t="inlineStr">
        <is>
          <t>Implemented</t>
        </is>
      </c>
      <c r="L19" s="7" t="inlineStr">
        <is>
          <t>tests/test_ingest.py; tests/test_autoprep.py</t>
        </is>
      </c>
      <c r="M19" s="7" t="inlineStr">
        <is>
          <t>No live connectors to other databases or warehouses.</t>
        </is>
      </c>
    </row>
    <row r="20" ht="92" customHeight="1">
      <c r="A20" s="5" t="n">
        <v>16</v>
      </c>
      <c r="B20" s="5" t="inlineStr">
        <is>
          <t>F16</t>
        </is>
      </c>
      <c r="C20" s="5" t="inlineStr">
        <is>
          <t>5. Result Analysis &amp; Visualization</t>
        </is>
      </c>
      <c r="D20" s="5" t="inlineStr">
        <is>
          <t>Structural Result Analysis</t>
        </is>
      </c>
      <c r="E20" s="5" t="inlineStr">
        <is>
          <t>Analyzes result set: column count, data types, categorical cardinality, aggregation level, temporal sequencing.</t>
        </is>
      </c>
      <c r="F20" s="5" t="inlineStr">
        <is>
          <t>Claims 1, 6; Step 212</t>
        </is>
      </c>
      <c r="G20" s="5" t="inlineStr">
        <is>
          <t>Dependent</t>
        </is>
      </c>
      <c r="H20" s="7" t="inlineStr">
        <is>
          <t>Result shape is profiled: row and column counts, column types, date ordering, category counts.</t>
        </is>
      </c>
      <c r="I20" s="7" t="inlineStr">
        <is>
          <t>data/profiler.py</t>
        </is>
      </c>
      <c r="J20" s="7" t="inlineStr">
        <is>
          <t>pandas</t>
        </is>
      </c>
      <c r="K20" s="7" t="inlineStr">
        <is>
          <t>Partial</t>
        </is>
      </c>
      <c r="L20" s="7" t="inlineStr">
        <is>
          <t>tests/test_core.py</t>
        </is>
      </c>
      <c r="M20" s="7" t="inlineStr">
        <is>
          <t>Aggregation level and dimensionality come from the question type rather than being measured; no variance or skew.</t>
        </is>
      </c>
    </row>
    <row r="21" ht="92" customHeight="1">
      <c r="A21" s="5" t="n">
        <v>17</v>
      </c>
      <c r="B21" s="5" t="inlineStr">
        <is>
          <t>F17</t>
        </is>
      </c>
      <c r="C21" s="5" t="inlineStr">
        <is>
          <t>5. Result Analysis &amp; Visualization</t>
        </is>
      </c>
      <c r="D21" s="5" t="inlineStr">
        <is>
          <t>Rule-Based Visualization Mapping</t>
        </is>
      </c>
      <c r="E21" s="5" t="inlineStr">
        <is>
          <t>Applies predefined rule mappings (intent + structure) to select the visualization configuration automatically.</t>
        </is>
      </c>
      <c r="F21" s="5" t="inlineStr">
        <is>
          <t>Claims 1, 9, 10; Step 214</t>
        </is>
      </c>
      <c r="G21" s="5" t="inlineStr">
        <is>
          <t>Core</t>
        </is>
      </c>
      <c r="H21" s="7" t="inlineStr">
        <is>
          <t>A rules file maps intent plus result shape to a chart; the first matching rule wins. User preferences and explicit chart requests can override within what fits.</t>
        </is>
      </c>
      <c r="I21" s="7" t="inlineStr">
        <is>
          <t>viz/charts.py; viz/charts_rules.yaml</t>
        </is>
      </c>
      <c r="J21" s="7" t="inlineStr">
        <is>
          <t>YAML rules, Python</t>
        </is>
      </c>
      <c r="K21" s="7" t="inlineStr">
        <is>
          <t>Implemented</t>
        </is>
      </c>
      <c r="L21" s="7" t="inlineStr">
        <is>
          <t>tests/test_core.py; tests/test_eval_gold.py (chart type 100% on gold set)</t>
        </is>
      </c>
      <c r="M21" s="7" t="inlineStr">
        <is>
          <t>Earlier sheet said Missing/doubt; it is built.</t>
        </is>
      </c>
    </row>
    <row r="22" ht="92" customHeight="1">
      <c r="A22" s="5" t="n">
        <v>18</v>
      </c>
      <c r="B22" s="5" t="inlineStr">
        <is>
          <t>F18</t>
        </is>
      </c>
      <c r="C22" s="5" t="inlineStr">
        <is>
          <t>5. Result Analysis &amp; Visualization</t>
        </is>
      </c>
      <c r="D22" s="5" t="inlineStr">
        <is>
          <t>Rule: Temporal Data to Line Chart</t>
        </is>
      </c>
      <c r="E22" s="5" t="inlineStr">
        <is>
          <t>Temporal sequential data maps to line charts.</t>
        </is>
      </c>
      <c r="F22" s="5" t="inlineStr">
        <is>
          <t>Claim 11; Embodiments</t>
        </is>
      </c>
      <c r="G22" s="5" t="inlineStr">
        <is>
          <t>Dependent</t>
        </is>
      </c>
      <c r="H22" s="7" t="inlineStr">
        <is>
          <t>Trend questions with dates give a line chart (one line per category when there is a category).</t>
        </is>
      </c>
      <c r="I22" s="7" t="inlineStr">
        <is>
          <t>viz/charts_rules.yaml</t>
        </is>
      </c>
      <c r="J22" s="7" t="inlineStr">
        <is>
          <t>Vega-Lite</t>
        </is>
      </c>
      <c r="K22" s="7" t="inlineStr">
        <is>
          <t>Implemented</t>
        </is>
      </c>
      <c r="L22" s="7" t="inlineStr">
        <is>
          <t>tests/test_core.py</t>
        </is>
      </c>
      <c r="M22" s="7" t="inlineStr"/>
    </row>
    <row r="23" ht="92" customHeight="1">
      <c r="A23" s="5" t="n">
        <v>19</v>
      </c>
      <c r="B23" s="5" t="inlineStr">
        <is>
          <t>F19</t>
        </is>
      </c>
      <c r="C23" s="5" t="inlineStr">
        <is>
          <t>5. Result Analysis &amp; Visualization</t>
        </is>
      </c>
      <c r="D23" s="5" t="inlineStr">
        <is>
          <t>Rule: Categorical Aggregates to Bar Chart</t>
        </is>
      </c>
      <c r="E23" s="5" t="inlineStr">
        <is>
          <t>Categorical aggregated data maps to bar charts.</t>
        </is>
      </c>
      <c r="F23" s="5" t="inlineStr">
        <is>
          <t>Claim 11; Embodiments</t>
        </is>
      </c>
      <c r="G23" s="5" t="inlineStr">
        <is>
          <t>Dependent</t>
        </is>
      </c>
      <c r="H23" s="7" t="inlineStr">
        <is>
          <t>Category comparisons give a bar chart; rankings a horizontal bar chart.</t>
        </is>
      </c>
      <c r="I23" s="7" t="inlineStr">
        <is>
          <t>viz/charts_rules.yaml</t>
        </is>
      </c>
      <c r="J23" s="7" t="inlineStr">
        <is>
          <t>Vega-Lite</t>
        </is>
      </c>
      <c r="K23" s="7" t="inlineStr">
        <is>
          <t>Implemented</t>
        </is>
      </c>
      <c r="L23" s="7" t="inlineStr">
        <is>
          <t>tests/test_core.py</t>
        </is>
      </c>
      <c r="M23" s="7" t="inlineStr"/>
    </row>
    <row r="24" ht="92" customHeight="1">
      <c r="A24" s="5" t="n">
        <v>20</v>
      </c>
      <c r="B24" s="5" t="inlineStr">
        <is>
          <t>F20</t>
        </is>
      </c>
      <c r="C24" s="5" t="inlineStr">
        <is>
          <t>5. Result Analysis &amp; Visualization</t>
        </is>
      </c>
      <c r="D24" s="5" t="inlineStr">
        <is>
          <t>Rule: Proportion Analysis to Pie/Donut</t>
        </is>
      </c>
      <c r="E24" s="5" t="inlineStr">
        <is>
          <t>Proportion analysis maps to pie or donut charts.</t>
        </is>
      </c>
      <c r="F24" s="5" t="inlineStr">
        <is>
          <t>Embodiments (rule mappings)</t>
        </is>
      </c>
      <c r="G24" s="5" t="inlineStr">
        <is>
          <t>Embodiment</t>
        </is>
      </c>
      <c r="H24" s="7" t="inlineStr">
        <is>
          <t>Proportion questions give a donut chart (up to 6 slices, otherwise bars).</t>
        </is>
      </c>
      <c r="I24" s="7" t="inlineStr">
        <is>
          <t>viz/charts_rules.yaml</t>
        </is>
      </c>
      <c r="J24" s="7" t="inlineStr">
        <is>
          <t>Vega-Lite</t>
        </is>
      </c>
      <c r="K24" s="7" t="inlineStr">
        <is>
          <t>Implemented</t>
        </is>
      </c>
      <c r="L24" s="7" t="inlineStr">
        <is>
          <t>tests/test_core.py</t>
        </is>
      </c>
      <c r="M24" s="7" t="inlineStr">
        <is>
          <t>Earlier sheet said Missing; it is built.</t>
        </is>
      </c>
    </row>
    <row r="25" ht="92" customHeight="1">
      <c r="A25" s="5" t="n">
        <v>21</v>
      </c>
      <c r="B25" s="5" t="inlineStr">
        <is>
          <t>F21</t>
        </is>
      </c>
      <c r="C25" s="5" t="inlineStr">
        <is>
          <t>5. Result Analysis &amp; Visualization</t>
        </is>
      </c>
      <c r="D25" s="5" t="inlineStr">
        <is>
          <t>Rule: Distribution Analysis to Histogram</t>
        </is>
      </c>
      <c r="E25" s="5" t="inlineStr">
        <is>
          <t>Distribution analysis maps to histograms.</t>
        </is>
      </c>
      <c r="F25" s="5" t="inlineStr">
        <is>
          <t>Embodiments (rule mappings)</t>
        </is>
      </c>
      <c r="G25" s="5" t="inlineStr">
        <is>
          <t>Embodiment</t>
        </is>
      </c>
      <c r="H25" s="7" t="inlineStr">
        <is>
          <t>Distribution questions give a histogram, binned for display.</t>
        </is>
      </c>
      <c r="I25" s="7" t="inlineStr">
        <is>
          <t>viz/charts_rules.yaml; server/serialize.py</t>
        </is>
      </c>
      <c r="J25" s="7" t="inlineStr">
        <is>
          <t>Vega-Lite</t>
        </is>
      </c>
      <c r="K25" s="7" t="inlineStr">
        <is>
          <t>Implemented</t>
        </is>
      </c>
      <c r="L25" s="7" t="inlineStr">
        <is>
          <t>tests/test_core.py</t>
        </is>
      </c>
      <c r="M25" s="7" t="inlineStr">
        <is>
          <t>Earlier sheet said Missing; it is built. Fixed bin rule, not variance-based.</t>
        </is>
      </c>
    </row>
    <row r="26" ht="92" customHeight="1">
      <c r="A26" s="5" t="n">
        <v>22</v>
      </c>
      <c r="B26" s="5" t="inlineStr">
        <is>
          <t>F22</t>
        </is>
      </c>
      <c r="C26" s="5" t="inlineStr">
        <is>
          <t>5. Result Analysis &amp; Visualization</t>
        </is>
      </c>
      <c r="D26" s="5" t="inlineStr">
        <is>
          <t>Rendering Parameter Generation</t>
        </is>
      </c>
      <c r="E26" s="5" t="inlineStr">
        <is>
          <t>Outputs machine-readable parameters: chart type ID, axis mappings, aggregation instructions, sort config, color palettes, legends.</t>
        </is>
      </c>
      <c r="F26" s="5" t="inlineStr">
        <is>
          <t>Claim 10; Embodiments (JSON viz schema)</t>
        </is>
      </c>
      <c r="G26" s="5" t="inlineStr">
        <is>
          <t>Dependent</t>
        </is>
      </c>
      <c r="H26" s="7" t="inlineStr">
        <is>
          <t>Each answer carries a machine-readable Vega-Lite chart spec: chart type, axis mappings, sort, colours and legend, plus the frame (aggregation) and a reason text.</t>
        </is>
      </c>
      <c r="I26" s="7" t="inlineStr">
        <is>
          <t>viz/charts.py; server/serialize.py</t>
        </is>
      </c>
      <c r="J26" s="7" t="inlineStr">
        <is>
          <t>Vega-Lite JSON</t>
        </is>
      </c>
      <c r="K26" s="7" t="inlineStr">
        <is>
          <t>Partial</t>
        </is>
      </c>
      <c r="L26" s="7" t="inlineStr">
        <is>
          <t>tests/test_core.py; browser walkthrough</t>
        </is>
      </c>
      <c r="M26" s="7" t="inlineStr">
        <is>
          <t>No tick-interval, smoothing, gradient or annotation settings; interactive tooltips only.</t>
        </is>
      </c>
    </row>
    <row r="27" ht="92" customHeight="1">
      <c r="A27" s="5" t="n">
        <v>23</v>
      </c>
      <c r="B27" s="5" t="inlineStr">
        <is>
          <t>F23</t>
        </is>
      </c>
      <c r="C27" s="5" t="inlineStr">
        <is>
          <t>5. Result Analysis &amp; Visualization</t>
        </is>
      </c>
      <c r="D27" s="5" t="inlineStr">
        <is>
          <t>Default Policy Enforcement</t>
        </is>
      </c>
      <c r="E27" s="5" t="inlineStr">
        <is>
          <t>Applies a default visualization selection policy when intent cannot be conclusively classified.</t>
        </is>
      </c>
      <c r="F27" s="5" t="inlineStr">
        <is>
          <t>Embodiments (default visualization policy)</t>
        </is>
      </c>
      <c r="G27" s="5" t="inlineStr">
        <is>
          <t>Embodiment</t>
        </is>
      </c>
      <c r="H27" s="7" t="inlineStr">
        <is>
          <t>When no rule matches, a table plus a best-guess bar chart is shown. Explicit chart requests that do not fit are refused with a plain explanation.</t>
        </is>
      </c>
      <c r="I27" s="7" t="inlineStr">
        <is>
          <t>viz/charts.py</t>
        </is>
      </c>
      <c r="J27" s="7" t="inlineStr">
        <is>
          <t>Python</t>
        </is>
      </c>
      <c r="K27" s="7" t="inlineStr">
        <is>
          <t>Implemented</t>
        </is>
      </c>
      <c r="L27" s="7" t="inlineStr">
        <is>
          <t>tests/test_core.py; tests/test_chart_request.py</t>
        </is>
      </c>
      <c r="M27" s="7" t="inlineStr"/>
    </row>
    <row r="28" ht="92" customHeight="1">
      <c r="A28" s="5" t="n">
        <v>24</v>
      </c>
      <c r="B28" s="5" t="inlineStr">
        <is>
          <t>F24</t>
        </is>
      </c>
      <c r="C28" s="5" t="inlineStr">
        <is>
          <t>6. Rendering &amp; Integration</t>
        </is>
      </c>
      <c r="D28" s="5" t="inlineStr">
        <is>
          <t>Direct Display Rendering</t>
        </is>
      </c>
      <c r="E28" s="5" t="inlineStr">
        <is>
          <t>Sends result set and visualization config directly to a local rendering engine to display the chart on screen.</t>
        </is>
      </c>
      <c r="F28" s="5" t="inlineStr">
        <is>
          <t>Claims 1, 14; Step 216</t>
        </is>
      </c>
      <c r="G28" s="5" t="inlineStr">
        <is>
          <t>Core</t>
        </is>
      </c>
      <c r="H28" s="7" t="inlineStr">
        <is>
          <t>The result and chart spec go straight to the browser, which draws the chart locally (no remote chart service).</t>
        </is>
      </c>
      <c r="I28" s="7" t="inlineStr">
        <is>
          <t>web/src/Chart.tsx; server/serialize.py</t>
        </is>
      </c>
      <c r="J28" s="7" t="inlineStr">
        <is>
          <t>vega-embed with vega-interpreter (no eval)</t>
        </is>
      </c>
      <c r="K28" s="7" t="inlineStr">
        <is>
          <t>Implemented</t>
        </is>
      </c>
      <c r="L28" s="7" t="inlineStr">
        <is>
          <t>Browser walkthrough; CSP check</t>
        </is>
      </c>
      <c r="M28" s="7" t="inlineStr">
        <is>
          <t>Financial-year axis labels (FY25, Q1 FY25) are drawn when the dataset uses an April start.</t>
        </is>
      </c>
    </row>
    <row r="29" ht="92" customHeight="1">
      <c r="A29" s="5" t="n">
        <v>25</v>
      </c>
      <c r="B29" s="5" t="inlineStr">
        <is>
          <t>F25</t>
        </is>
      </c>
      <c r="C29" s="5" t="inlineStr">
        <is>
          <t>6. Rendering &amp; Integration</t>
        </is>
      </c>
      <c r="D29" s="5" t="inlineStr">
        <is>
          <t>BI Tool Integration</t>
        </is>
      </c>
      <c r="E29" s="5" t="inlineStr">
        <is>
          <t>API adapter passes data and visualization config to locally accessible BI tools such as Tableau or Microsoft Power BI.</t>
        </is>
      </c>
      <c r="F29" s="5" t="inlineStr">
        <is>
          <t>Claim 13; Embodiments</t>
        </is>
      </c>
      <c r="G29" s="5" t="inlineStr">
        <is>
          <t>Dependent</t>
        </is>
      </c>
      <c r="H29" s="7" t="inlineStr">
        <is>
          <t>'Open in Power BI' makes a Power BI project (.pbip) with the data and a chart configured through explicit model measures. On Windows, a one-time helper registers a locallens:// link so one click downloads the project and opens it in Power BI Desktop; elsewhere the project downloads. Built behind an adapter interface so Tableau could be added.</t>
        </is>
      </c>
      <c r="I29" s="7" t="inlineStr">
        <is>
          <t>viz/adapters.py; viz/export_pbi.py; server/helper.py; server/links.py</t>
        </is>
      </c>
      <c r="J29" s="7" t="inlineStr">
        <is>
          <t>Power BI project format (TMDL + PBIR JSON)</t>
        </is>
      </c>
      <c r="K29" s="7" t="inlineStr">
        <is>
          <t>Partial</t>
        </is>
      </c>
      <c r="L29" s="7" t="inlineStr">
        <is>
          <t>tests/test_export_pbi.py (15); tests/test_helper.py (9); scripts/validate_pbip.py (Microsoft schema check)</t>
        </is>
      </c>
      <c r="M29" s="7" t="inlineStr">
        <is>
          <t>NOT yet opened in Power BI Desktop and the helper is untested on Windows (needs the Windows laptop). A first version drew no chart because implicit measures were off; fixed with explicit measures, unconfirmed. Still a file export, not a live API call. No Tableau.</t>
        </is>
      </c>
    </row>
    <row r="30" ht="92" customHeight="1">
      <c r="A30" s="5" t="n">
        <v>26</v>
      </c>
      <c r="B30" s="5" t="inlineStr">
        <is>
          <t>F26</t>
        </is>
      </c>
      <c r="C30" s="5" t="inlineStr">
        <is>
          <t>1. Core Architecture &amp; Privacy</t>
        </is>
      </c>
      <c r="D30" s="5" t="inlineStr">
        <is>
          <t>Access Control</t>
        </is>
      </c>
      <c r="E30" s="5" t="inlineStr">
        <is>
          <t>Restricts query execution and visualization generation by user authentication or role-based authorization.</t>
        </is>
      </c>
      <c r="F30" s="5" t="inlineStr">
        <is>
          <t>Embodiments (access control module)</t>
        </is>
      </c>
      <c r="G30" s="5" t="inlineStr">
        <is>
          <t>Embodiment</t>
        </is>
      </c>
      <c r="H30" s="7" t="inlineStr">
        <is>
          <t>Login with hashed passwords, sessions, lockout, admin and user roles, private and shared datasets, private chats, audit log.</t>
        </is>
      </c>
      <c r="I30" s="7" t="inlineStr">
        <is>
          <t>server/auth.py; server/security.py; server/routes_auth.py</t>
        </is>
      </c>
      <c r="J30" s="7" t="inlineStr">
        <is>
          <t>scrypt, SQLite, HttpOnly cookies</t>
        </is>
      </c>
      <c r="K30" s="7" t="inlineStr">
        <is>
          <t>Implemented</t>
        </is>
      </c>
      <c r="L30" s="7" t="inlineStr">
        <is>
          <t>tests/test_server.py (access and role tests)</t>
        </is>
      </c>
      <c r="M30" s="7" t="inlineStr">
        <is>
          <t>No single sign-on; passwords are reset by an administrator.</t>
        </is>
      </c>
    </row>
  </sheetData>
  <autoFilter ref="A4:F29"/>
  <dataValidations count="2">
    <dataValidation sqref="K5:K30" showDropDown="0" showInputMessage="0" showErrorMessage="0" allowBlank="1" type="list">
      <formula1>"Implemented,Partial,Not Implemented"</formula1>
    </dataValidation>
    <dataValidation sqref="G5:G30" showDropDown="0" showInputMessage="0" showErrorMessage="0" allowBlank="1" type="list">
      <formula1>"Core,Dependent,Embodiment"</formula1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Normal="100" workbookViewId="0">
      <selection activeCell="A1" sqref="A1"/>
    </sheetView>
  </sheetViews>
  <sheetFormatPr baseColWidth="8" defaultColWidth="8.6640625" defaultRowHeight="14.4"/>
  <cols>
    <col width="38" customWidth="1" min="1" max="1"/>
    <col width="20" customWidth="1" min="2" max="7"/>
  </cols>
  <sheetData>
    <row r="1" ht="17.4" customHeight="1">
      <c r="A1" s="1" t="inlineStr">
        <is>
          <t>Coverage Summary</t>
        </is>
      </c>
    </row>
    <row r="3">
      <c r="A3" s="8" t="inlineStr">
        <is>
          <t>Partial credit weight (assumption: a Partial item counts as this fraction of an Implemented item)</t>
        </is>
      </c>
      <c r="F3" s="9" t="n">
        <v>0.5</v>
      </c>
    </row>
    <row r="5" ht="31.5" customHeight="1">
      <c r="A5" s="3" t="inlineStr">
        <is>
          <t>Section</t>
        </is>
      </c>
      <c r="B5" s="3" t="inlineStr">
        <is>
          <t>Total</t>
        </is>
      </c>
      <c r="C5" s="3" t="inlineStr">
        <is>
          <t>Implemented</t>
        </is>
      </c>
      <c r="D5" s="3" t="inlineStr">
        <is>
          <t>Partial</t>
        </is>
      </c>
      <c r="E5" s="3" t="inlineStr">
        <is>
          <t>Not Implemented</t>
        </is>
      </c>
      <c r="F5" s="3" t="inlineStr">
        <is>
          <t>Pending (status not filled)</t>
        </is>
      </c>
      <c r="G5" s="3" t="inlineStr">
        <is>
          <t>Coverage % (weighted)</t>
        </is>
      </c>
    </row>
    <row r="6">
      <c r="A6" s="10" t="inlineStr">
        <is>
          <t>1. Core Architecture &amp; Privacy</t>
        </is>
      </c>
      <c r="B6" s="11">
        <f>COUNTIF(Mapping!$C$5:$C$30,A6)</f>
        <v/>
      </c>
      <c r="C6" s="11">
        <f>COUNTIFS(Mapping!$C$5:$C$30,A6,Mapping!$K$5:$K$30,"Implemented")</f>
        <v/>
      </c>
      <c r="D6" s="11">
        <f>COUNTIFS(Mapping!$C$5:$C$30,A6,Mapping!$K$5:$K$30,"Partial")</f>
        <v/>
      </c>
      <c r="E6" s="11">
        <f>COUNTIFS(Mapping!$C$5:$C$30,A6,Mapping!$K$5:$K$30,"Not Implemented")</f>
        <v/>
      </c>
      <c r="F6" s="11">
        <f>B6-C6-D6-E6</f>
        <v/>
      </c>
      <c r="G6" s="12">
        <f>IF(B6=0,0,(C6+$F$3*D6)/B6)</f>
        <v/>
      </c>
    </row>
    <row r="7">
      <c r="A7" s="10" t="inlineStr">
        <is>
          <t>2. User Interface &amp; Interaction</t>
        </is>
      </c>
      <c r="B7" s="11">
        <f>COUNTIF(Mapping!$C$5:$C$30,A7)</f>
        <v/>
      </c>
      <c r="C7" s="11">
        <f>COUNTIFS(Mapping!$C$5:$C$30,A7,Mapping!$K$5:$K$30,"Implemented")</f>
        <v/>
      </c>
      <c r="D7" s="11">
        <f>COUNTIFS(Mapping!$C$5:$C$30,A7,Mapping!$K$5:$K$30,"Partial")</f>
        <v/>
      </c>
      <c r="E7" s="11">
        <f>COUNTIFS(Mapping!$C$5:$C$30,A7,Mapping!$K$5:$K$30,"Not Implemented")</f>
        <v/>
      </c>
      <c r="F7" s="11">
        <f>B7-C7-D7-E7</f>
        <v/>
      </c>
      <c r="G7" s="12">
        <f>IF(B7=0,0,(C7+$F$3*D7)/B7)</f>
        <v/>
      </c>
    </row>
    <row r="8">
      <c r="A8" s="10" t="inlineStr">
        <is>
          <t>3. On-Device SLM Engine</t>
        </is>
      </c>
      <c r="B8" s="11">
        <f>COUNTIF(Mapping!$C$5:$C$30,A8)</f>
        <v/>
      </c>
      <c r="C8" s="11">
        <f>COUNTIFS(Mapping!$C$5:$C$30,A8,Mapping!$K$5:$K$30,"Implemented")</f>
        <v/>
      </c>
      <c r="D8" s="11">
        <f>COUNTIFS(Mapping!$C$5:$C$30,A8,Mapping!$K$5:$K$30,"Partial")</f>
        <v/>
      </c>
      <c r="E8" s="11">
        <f>COUNTIFS(Mapping!$C$5:$C$30,A8,Mapping!$K$5:$K$30,"Not Implemented")</f>
        <v/>
      </c>
      <c r="F8" s="11">
        <f>B8-C8-D8-E8</f>
        <v/>
      </c>
      <c r="G8" s="12">
        <f>IF(B8=0,0,(C8+$F$3*D8)/B8)</f>
        <v/>
      </c>
    </row>
    <row r="9">
      <c r="A9" s="10" t="inlineStr">
        <is>
          <t>4. Query Generation &amp; Execution</t>
        </is>
      </c>
      <c r="B9" s="11">
        <f>COUNTIF(Mapping!$C$5:$C$30,A9)</f>
        <v/>
      </c>
      <c r="C9" s="11">
        <f>COUNTIFS(Mapping!$C$5:$C$30,A9,Mapping!$K$5:$K$30,"Implemented")</f>
        <v/>
      </c>
      <c r="D9" s="11">
        <f>COUNTIFS(Mapping!$C$5:$C$30,A9,Mapping!$K$5:$K$30,"Partial")</f>
        <v/>
      </c>
      <c r="E9" s="11">
        <f>COUNTIFS(Mapping!$C$5:$C$30,A9,Mapping!$K$5:$K$30,"Not Implemented")</f>
        <v/>
      </c>
      <c r="F9" s="11">
        <f>B9-C9-D9-E9</f>
        <v/>
      </c>
      <c r="G9" s="12">
        <f>IF(B9=0,0,(C9+$F$3*D9)/B9)</f>
        <v/>
      </c>
    </row>
    <row r="10">
      <c r="A10" s="10" t="inlineStr">
        <is>
          <t>5. Result Analysis &amp; Visualization</t>
        </is>
      </c>
      <c r="B10" s="11">
        <f>COUNTIF(Mapping!$C$5:$C$30,A10)</f>
        <v/>
      </c>
      <c r="C10" s="11">
        <f>COUNTIFS(Mapping!$C$5:$C$30,A10,Mapping!$K$5:$K$30,"Implemented")</f>
        <v/>
      </c>
      <c r="D10" s="11">
        <f>COUNTIFS(Mapping!$C$5:$C$30,A10,Mapping!$K$5:$K$30,"Partial")</f>
        <v/>
      </c>
      <c r="E10" s="11">
        <f>COUNTIFS(Mapping!$C$5:$C$30,A10,Mapping!$K$5:$K$30,"Not Implemented")</f>
        <v/>
      </c>
      <c r="F10" s="11">
        <f>B10-C10-D10-E10</f>
        <v/>
      </c>
      <c r="G10" s="12">
        <f>IF(B10=0,0,(C10+$F$3*D10)/B10)</f>
        <v/>
      </c>
    </row>
    <row r="11">
      <c r="A11" s="10" t="inlineStr">
        <is>
          <t>6. Rendering &amp; Integration</t>
        </is>
      </c>
      <c r="B11" s="11">
        <f>COUNTIF(Mapping!$C$5:$C$30,A11)</f>
        <v/>
      </c>
      <c r="C11" s="11">
        <f>COUNTIFS(Mapping!$C$5:$C$30,A11,Mapping!$K$5:$K$30,"Implemented")</f>
        <v/>
      </c>
      <c r="D11" s="11">
        <f>COUNTIFS(Mapping!$C$5:$C$30,A11,Mapping!$K$5:$K$30,"Partial")</f>
        <v/>
      </c>
      <c r="E11" s="11">
        <f>COUNTIFS(Mapping!$C$5:$C$30,A11,Mapping!$K$5:$K$30,"Not Implemented")</f>
        <v/>
      </c>
      <c r="F11" s="11">
        <f>B11-C11-D11-E11</f>
        <v/>
      </c>
      <c r="G11" s="12">
        <f>IF(B11=0,0,(C11+$F$3*D11)/B11)</f>
        <v/>
      </c>
    </row>
    <row r="12">
      <c r="A12" s="13" t="inlineStr">
        <is>
          <t>TOTAL</t>
        </is>
      </c>
      <c r="B12" s="14">
        <f>SUM(B6:B11)</f>
        <v/>
      </c>
      <c r="C12" s="14">
        <f>SUM(C6:C11)</f>
        <v/>
      </c>
      <c r="D12" s="14">
        <f>SUM(D6:D11)</f>
        <v/>
      </c>
      <c r="E12" s="14">
        <f>SUM(E6:E11)</f>
        <v/>
      </c>
      <c r="F12" s="14">
        <f>SUM(F6:F11)</f>
        <v/>
      </c>
      <c r="G12" s="15">
        <f>IF(B12=0,0,(C12+$F$3*D12)/B12)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Normal="100" workbookViewId="0">
      <selection activeCell="A1" sqref="A1"/>
    </sheetView>
  </sheetViews>
  <sheetFormatPr baseColWidth="8" defaultColWidth="8.6640625" defaultRowHeight="14.4"/>
  <cols>
    <col width="26" customWidth="1" min="1" max="1"/>
    <col width="52" customWidth="1" min="2" max="2"/>
    <col width="38" customWidth="1" min="3" max="3"/>
    <col width="14" customWidth="1" min="4" max="4"/>
    <col width="70" customWidth="1" min="5" max="5"/>
  </cols>
  <sheetData>
    <row r="1" ht="17.4" customHeight="1">
      <c r="A1" s="1" t="inlineStr">
        <is>
          <t>Non-Functional Requirements: Targets vs Measured</t>
        </is>
      </c>
    </row>
    <row r="3">
      <c r="A3" s="3" t="inlineStr">
        <is>
          <t>Requirement</t>
        </is>
      </c>
      <c r="B3" s="3" t="inlineStr">
        <is>
          <t>Target (from patent draft)</t>
        </is>
      </c>
      <c r="C3" s="3" t="inlineStr">
        <is>
          <t>Measured Value (fill in)</t>
        </is>
      </c>
      <c r="D3" s="3" t="inlineStr">
        <is>
          <t>Met? (Yes/No)</t>
        </is>
      </c>
      <c r="E3" s="3" t="inlineStr">
        <is>
          <t>How Measured / Evidence</t>
        </is>
      </c>
    </row>
    <row r="4" ht="62" customHeight="1">
      <c r="A4" s="6" t="inlineStr">
        <is>
          <t>End-to-end latency</t>
        </is>
      </c>
      <c r="B4" s="5" t="inlineStr">
        <is>
          <t>&lt; 2 seconds, query to displayed chart</t>
        </is>
      </c>
      <c r="C4" s="7" t="inlineStr">
        <is>
          <t>Median 0.74-0.76 s; 95th percentile 1.47-1.86 s; slowest single answer 2.6 s (4 question sets, 168 questions)</t>
        </is>
      </c>
      <c r="D4" s="7" t="inlineStr">
        <is>
          <t>Partly</t>
        </is>
      </c>
      <c r="E4" s="7" t="inlineStr">
        <is>
          <t>python eval/run_eval.py --set gold|heldout|heldout2|heldout3, 2026-10-24, Apple M5, CPU, warm model. Median meets the target; the slowest answers do not always. Other machines not measured.</t>
        </is>
      </c>
    </row>
    <row r="5" ht="62" customHeight="1">
      <c r="A5" s="6" t="inlineStr">
        <is>
          <t>Hardware</t>
        </is>
      </c>
      <c r="B5" s="5" t="inlineStr">
        <is>
          <t>CPU only, no dedicated GPU required</t>
        </is>
      </c>
      <c r="C5" s="7" t="inlineStr">
        <is>
          <t>CPU only (n_gpu_layers=0)</t>
        </is>
      </c>
      <c r="D5" s="7" t="inlineStr">
        <is>
          <t>Yes</t>
        </is>
      </c>
      <c r="E5" s="7" t="inlineStr">
        <is>
          <t>src/locallens/nlu/slm.py line 101; all runs above on CPU</t>
        </is>
      </c>
    </row>
    <row r="6" ht="62" customHeight="1">
      <c r="A6" s="6" t="inlineStr">
        <is>
          <t>Memory footprint</t>
        </is>
      </c>
      <c r="B6" s="5" t="inlineStr">
        <is>
          <t>Below about 4 to 8 GB RAM</t>
        </is>
      </c>
      <c r="C6" s="7" t="inlineStr">
        <is>
          <t>1,017 MB peak (language model + embedding model, 96 questions)</t>
        </is>
      </c>
      <c r="D6" s="7" t="inlineStr">
        <is>
          <t>Yes</t>
        </is>
      </c>
      <c r="E6" s="7" t="inlineStr">
        <is>
          <t>resource.getrusage peak RSS after running the 48-question gold set twice with both models loaded, 2026-10-24. Server and browser add a little; not measured on an 8 GB Windows laptop.</t>
        </is>
      </c>
    </row>
    <row r="7" ht="62" customHeight="1">
      <c r="A7" s="6" t="inlineStr">
        <is>
          <t>SLM parameter size</t>
        </is>
      </c>
      <c r="B7" s="5" t="inlineStr">
        <is>
          <t>About 50M to 500M parameters (below a defined threshold)</t>
        </is>
      </c>
      <c r="C7" s="7" t="inlineStr">
        <is>
          <t>0.49 billion (494M) parameters</t>
        </is>
      </c>
      <c r="D7" s="7" t="inlineStr">
        <is>
          <t>Yes</t>
        </is>
      </c>
      <c r="E7" s="7" t="inlineStr">
        <is>
          <t>Qwen2.5-0.5B-Instruct. At the top of the 50M-500M range.</t>
        </is>
      </c>
    </row>
    <row r="8" ht="62" customHeight="1">
      <c r="A8" s="6" t="inlineStr">
        <is>
          <t>Quantization</t>
        </is>
      </c>
      <c r="B8" s="5" t="inlineStr">
        <is>
          <t>8-bit or 4-bit quantized model</t>
        </is>
      </c>
      <c r="C8" s="7" t="inlineStr">
        <is>
          <t>4-bit (Q4_K_M) language model; 8-bit (Q8_0) embedding model</t>
        </is>
      </c>
      <c r="D8" s="7" t="inlineStr">
        <is>
          <t>Yes</t>
        </is>
      </c>
      <c r="E8" s="7" t="inlineStr">
        <is>
          <t>models/qwen2.5-0.5b-instruct-q4_k_m.gguf (491 MB); models/bge-small-en-v1.5-q8_0.gguf (37 MB)</t>
        </is>
      </c>
    </row>
    <row r="9" ht="62" customHeight="1">
      <c r="A9" s="6" t="inlineStr">
        <is>
          <t>Context window</t>
        </is>
      </c>
      <c r="B9" s="5" t="inlineStr">
        <is>
          <t>Predefined maximum context window</t>
        </is>
      </c>
      <c r="C9" s="7" t="inlineStr">
        <is>
          <t>2048 tokens; prompt trimmed to fit, 320 reserved for the answer</t>
        </is>
      </c>
      <c r="D9" s="7" t="inlineStr">
        <is>
          <t>Yes</t>
        </is>
      </c>
      <c r="E9" s="7" t="inlineStr">
        <is>
          <t>SLM(n_ctx=2048); _fit() in nlu/slm.py</t>
        </is>
      </c>
    </row>
    <row r="10" ht="62" customHeight="1">
      <c r="A10" s="6" t="inlineStr">
        <is>
          <t>Offline operation</t>
        </is>
      </c>
      <c r="B10" s="5" t="inlineStr">
        <is>
          <t>Full flow works with no internet connectivity</t>
        </is>
      </c>
      <c r="C10" s="7" t="inlineStr">
        <is>
          <t>Works with network blocked</t>
        </is>
      </c>
      <c r="D10" s="7" t="inlineStr">
        <is>
          <t>Yes</t>
        </is>
      </c>
      <c r="E10" s="7" t="inlineStr">
        <is>
          <t>python scripts/check_offline.py: blocks socket connections, asks 3 questions, all answered; tests/test_offline.py</t>
        </is>
      </c>
    </row>
    <row r="11" ht="62" customHeight="1">
      <c r="A11" s="6" t="inlineStr">
        <is>
          <t>Network privacy</t>
        </is>
      </c>
      <c r="B11" s="5" t="inlineStr">
        <is>
          <t>Zero outbound connections during the full flow</t>
        </is>
      </c>
      <c r="C11" s="7" t="inlineStr">
        <is>
          <t>0 connections in the check; no telemetry in code</t>
        </is>
      </c>
      <c r="D11" s="7" t="inlineStr">
        <is>
          <t>Yes</t>
        </is>
      </c>
      <c r="E11" s="7" t="inlineStr">
        <is>
          <t>check_offline.py raises on any connect attempt. Software-level proof only: no packet capture was done.</t>
        </is>
      </c>
    </row>
    <row r="12" ht="62" customHeight="1">
      <c r="A12" s="6" t="inlineStr">
        <is>
          <t>Determinism</t>
        </is>
      </c>
      <c r="B12" s="5" t="inlineStr">
        <is>
          <t>Same query and data give the same SQL and chart</t>
        </is>
      </c>
      <c r="C12" s="7" t="inlineStr">
        <is>
          <t>48/48 questions identical on two runs</t>
        </is>
      </c>
      <c r="D12" s="7" t="inlineStr">
        <is>
          <t>Yes</t>
        </is>
      </c>
      <c r="E12" s="7" t="inlineStr">
        <is>
          <t>Temperature 0; ran the gold set twice and compared frame, SQL and chart type, 2026-10-24</t>
        </is>
      </c>
    </row>
  </sheetData>
  <dataValidations count="1">
    <dataValidation sqref="D4:D12" showDropDown="0" showInputMessage="0" showErrorMessage="0" allowBlank="1" type="list">
      <formula1>"Yes,Partly,No"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zoomScaleNormal="100" workbookViewId="0">
      <selection activeCell="A1" sqref="A1"/>
    </sheetView>
  </sheetViews>
  <sheetFormatPr baseColWidth="8" defaultColWidth="8.6640625" defaultRowHeight="14.4"/>
  <cols>
    <col width="10" customWidth="1" min="1" max="1"/>
    <col width="28" customWidth="1" min="2" max="2"/>
    <col width="44" customWidth="1" min="3" max="3"/>
    <col width="20" customWidth="1" min="4" max="4"/>
    <col width="18" customWidth="1" min="5" max="5"/>
    <col width="14" customWidth="1" min="6" max="6"/>
    <col width="20" customWidth="1" min="7" max="7"/>
    <col width="16" customWidth="1" min="8" max="8"/>
  </cols>
  <sheetData>
    <row r="1" ht="17.4" customHeight="1">
      <c r="A1" s="1" t="inlineStr">
        <is>
          <t>How to use this workbook</t>
        </is>
      </c>
    </row>
    <row r="3">
      <c r="A3" s="8" t="inlineStr">
        <is>
          <t>1. Go to the 'Mapping' sheet. Columns A to G are pre-filled from the patent draft and the requirements list.</t>
        </is>
      </c>
    </row>
    <row r="4">
      <c r="A4" s="8" t="inlineStr">
        <is>
          <t>2. Fill the yellow columns H to M for every row: how you implemented it, the file/module, technology, status, evidence and remarks.</t>
        </is>
      </c>
    </row>
    <row r="5">
      <c r="A5" s="8" t="inlineStr">
        <is>
          <t>3. Status must be one of: Implemented (fully working and demonstrable), Partial (works in limited form; explain in Remarks), Not Implemented (give reason and plan).</t>
        </is>
      </c>
    </row>
    <row r="6">
      <c r="A6" s="8" t="inlineStr">
        <is>
          <t>4. The 'Summary' sheet recalculates automatically from the Status column. Coverage % counts Partial items at the weight set in Summary!F3 (assumed 0.5).</t>
        </is>
      </c>
    </row>
    <row r="7">
      <c r="A7" s="8" t="inlineStr">
        <is>
          <t>5. Fill measured values on 'Non-Functional Reqs' (for example latency in seconds) so each target has evidence.</t>
        </is>
      </c>
    </row>
    <row r="8">
      <c r="A8" s="8" t="inlineStr">
        <is>
          <t>6. Category: Core = independent claims 1 and 14; Dependent = dependent claims 2 to 13; Embodiment = described in the detailed description but not claimed.</t>
        </is>
      </c>
    </row>
    <row r="10">
      <c r="A10" s="16" t="inlineStr">
        <is>
          <t>Example of a filled row (illustrative only, not your project data)</t>
        </is>
      </c>
    </row>
    <row r="11" ht="26.4" customHeight="1">
      <c r="A11" s="3" t="inlineStr">
        <is>
          <t>Func. ID</t>
        </is>
      </c>
      <c r="B11" s="3" t="inlineStr">
        <is>
          <t>Functionality</t>
        </is>
      </c>
      <c r="C11" s="3" t="inlineStr">
        <is>
          <t>Implementation in Project</t>
        </is>
      </c>
      <c r="D11" s="3" t="inlineStr">
        <is>
          <t>Module / File</t>
        </is>
      </c>
      <c r="E11" s="3" t="inlineStr">
        <is>
          <t>Technology Used</t>
        </is>
      </c>
      <c r="F11" s="3" t="inlineStr">
        <is>
          <t>Status</t>
        </is>
      </c>
      <c r="G11" s="3" t="inlineStr">
        <is>
          <t>Evidence / Test Case</t>
        </is>
      </c>
      <c r="H11" s="3" t="inlineStr">
        <is>
          <t>Remarks / Gap Plan</t>
        </is>
      </c>
    </row>
    <row r="12" ht="26.4" customHeight="1">
      <c r="A12" s="5" t="inlineStr">
        <is>
          <t>F15</t>
        </is>
      </c>
      <c r="B12" s="5" t="inlineStr">
        <is>
          <t>Template-Based Query Formation</t>
        </is>
      </c>
      <c r="C12" s="5" t="inlineStr">
        <is>
          <t>SQL templates populated with extracted metric, dimension and time fields</t>
        </is>
      </c>
      <c r="D12" s="5" t="inlineStr">
        <is>
          <t>query_builder.py</t>
        </is>
      </c>
      <c r="E12" s="5" t="inlineStr">
        <is>
          <t>Jinja2, DuckDB</t>
        </is>
      </c>
      <c r="F12" s="5" t="inlineStr">
        <is>
          <t>Implemented</t>
        </is>
      </c>
      <c r="G12" s="5" t="inlineStr">
        <is>
          <t>TC-07, Screenshot 3</t>
        </is>
      </c>
      <c r="H12" s="5" t="inlineStr">
        <is>
          <t>None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2026-10-22T10:55:11Z</dcterms:created>
  <dcterms:modified xsi:type="dcterms:W3CDTF">2026-10-23T19:13:30Z</dcterms:modified>
  <cp:lastModifiedBy>RUSHIKESH GIRPUNJE</cp:lastModifiedBy>
  <cp:revision>0</cp:revision>
</cp:coreProperties>
</file>